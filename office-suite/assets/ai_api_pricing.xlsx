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览 All Models" sheetId="1" state="visible" r:id="rId1"/>
    <sheet name="快速对比 Summary" sheetId="2" state="visible" r:id="rId2"/>
  </sheets>
  <definedNames>
    <definedName name="_xlnm._FilterDatabase" localSheetId="0" hidden="1">'全览 All Models'!$A$3:$I$49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22">
    <font>
      <name val="Calibri"/>
      <family val="2"/>
      <color theme="1"/>
      <sz val="11"/>
      <scheme val="minor"/>
    </font>
    <font>
      <name val="Arial"/>
      <b val="1"/>
      <color rgb="001A1A2E"/>
      <sz val="14"/>
    </font>
    <font>
      <name val="Arial"/>
      <b val="1"/>
      <color rgb="00FFFFFF"/>
      <sz val="14"/>
    </font>
    <font>
      <name val="Arial"/>
      <i val="1"/>
      <color rgb="00666666"/>
      <sz val="9"/>
    </font>
    <font>
      <name val="Arial"/>
      <b val="1"/>
      <color rgb="00FFFFFF"/>
      <sz val="9"/>
    </font>
    <font>
      <name val="Arial"/>
      <b val="1"/>
      <color rgb="001A1A2E"/>
      <sz val="9"/>
    </font>
    <font>
      <name val="Arial"/>
      <color rgb="001A1A2E"/>
      <sz val="9"/>
    </font>
    <font>
      <name val="Arial"/>
      <b val="1"/>
      <color rgb="00FF9800"/>
      <sz val="8"/>
    </font>
    <font>
      <name val="Arial"/>
      <color rgb="000000CC"/>
      <sz val="9"/>
    </font>
    <font>
      <name val="Arial"/>
      <color rgb="00444444"/>
      <sz val="9"/>
    </font>
    <font>
      <name val="Arial"/>
      <color rgb="00555555"/>
      <sz val="8"/>
    </font>
    <font>
      <name val="Arial"/>
      <color rgb="00008000"/>
      <sz val="9"/>
    </font>
    <font>
      <name val="Arial"/>
      <i val="1"/>
      <color rgb="00555555"/>
      <sz val="8"/>
    </font>
    <font>
      <name val="Arial"/>
      <b val="1"/>
      <color rgb="00E91E63"/>
      <sz val="8"/>
    </font>
    <font>
      <name val="Arial"/>
      <b val="1"/>
      <color rgb="003F51B5"/>
      <sz val="8"/>
    </font>
    <font>
      <name val="Arial"/>
      <b val="1"/>
      <color rgb="004CAF50"/>
      <sz val="8"/>
    </font>
    <font>
      <name val="Arial"/>
      <b val="1"/>
      <color rgb="00009688"/>
      <sz val="8"/>
    </font>
    <font>
      <name val="Arial"/>
      <b val="1"/>
      <color rgb="009C27B0"/>
      <sz val="8"/>
    </font>
    <font>
      <name val="Arial"/>
      <b val="1"/>
      <color rgb="00FFFFFF"/>
      <sz val="13"/>
    </font>
    <font>
      <name val="Arial"/>
      <b val="1"/>
      <color rgb="001A1A2E"/>
      <sz val="10"/>
    </font>
    <font>
      <name val="Arial"/>
      <sz val="9"/>
    </font>
    <font>
      <name val="Arial"/>
      <b val="1"/>
      <color rgb="000000CC"/>
      <sz val="9"/>
    </font>
  </fonts>
  <fills count="15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DDEEFF"/>
      </patternFill>
    </fill>
    <fill>
      <patternFill patternType="solid">
        <fgColor rgb="00FFE8D6"/>
      </patternFill>
    </fill>
    <fill>
      <patternFill patternType="solid">
        <fgColor rgb="00E2F0D9"/>
      </patternFill>
    </fill>
    <fill>
      <patternFill patternType="solid">
        <fgColor rgb="00EDE7F6"/>
      </patternFill>
    </fill>
    <fill>
      <patternFill patternType="solid">
        <fgColor rgb="00FFF9C4"/>
      </patternFill>
    </fill>
    <fill>
      <patternFill patternType="solid">
        <fgColor rgb="00F3F3F3"/>
      </patternFill>
    </fill>
    <fill>
      <patternFill patternType="solid">
        <fgColor rgb="00E0F4FF"/>
      </patternFill>
    </fill>
    <fill>
      <patternFill patternType="solid">
        <fgColor rgb="00FCE4EC"/>
      </patternFill>
    </fill>
    <fill>
      <patternFill patternType="solid">
        <fgColor rgb="00E8F5E9"/>
      </patternFill>
    </fill>
    <fill>
      <patternFill patternType="solid">
        <fgColor rgb="00FFF3E0"/>
      </patternFill>
    </fill>
    <fill>
      <patternFill patternType="solid">
        <fgColor rgb="0037474F"/>
      </patternFill>
    </fill>
    <fill>
      <patternFill patternType="solid">
        <fgColor rgb="00FFFF99"/>
      </patternFill>
    </fill>
  </fills>
  <borders count="3">
    <border>
      <left/>
      <right/>
      <top/>
      <bottom/>
      <diagonal/>
    </border>
    <border>
      <left style="medium">
        <color rgb="00888888"/>
      </left>
      <right style="medium">
        <color rgb="00888888"/>
      </right>
      <top style="medium">
        <color rgb="00888888"/>
      </top>
      <bottom style="medium">
        <color rgb="00888888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45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/>
    </xf>
    <xf numFmtId="0" fontId="6" fillId="3" borderId="2" applyAlignment="1" pivotButton="0" quotePrefix="0" xfId="0">
      <alignment vertical="center"/>
    </xf>
    <xf numFmtId="0" fontId="7" fillId="3" borderId="2" applyAlignment="1" pivotButton="0" quotePrefix="0" xfId="0">
      <alignment horizontal="center" vertical="center"/>
    </xf>
    <xf numFmtId="164" fontId="8" fillId="3" borderId="2" applyAlignment="1" pivotButton="0" quotePrefix="0" xfId="0">
      <alignment horizontal="right" vertical="center"/>
    </xf>
    <xf numFmtId="0" fontId="9" fillId="3" borderId="2" applyAlignment="1" pivotButton="0" quotePrefix="0" xfId="0">
      <alignment horizontal="center" vertical="center"/>
    </xf>
    <xf numFmtId="0" fontId="10" fillId="3" borderId="2" applyAlignment="1" pivotButton="0" quotePrefix="0" xfId="0">
      <alignment horizontal="center" vertical="center"/>
    </xf>
    <xf numFmtId="164" fontId="11" fillId="3" borderId="2" applyAlignment="1" pivotButton="0" quotePrefix="0" xfId="0">
      <alignment horizontal="right" vertical="center"/>
    </xf>
    <xf numFmtId="0" fontId="12" fillId="3" borderId="2" applyAlignment="1" pivotButton="0" quotePrefix="0" xfId="0">
      <alignment vertical="center" wrapText="1"/>
    </xf>
    <xf numFmtId="0" fontId="0" fillId="3" borderId="2" applyAlignment="1" pivotButton="0" quotePrefix="0" xfId="0">
      <alignment horizontal="center" vertical="center"/>
    </xf>
    <xf numFmtId="0" fontId="13" fillId="3" borderId="2" applyAlignment="1" pivotButton="0" quotePrefix="0" xfId="0">
      <alignment horizontal="center" vertical="center"/>
    </xf>
    <xf numFmtId="0" fontId="14" fillId="3" borderId="2" applyAlignment="1" pivotButton="0" quotePrefix="0" xfId="0">
      <alignment horizontal="center" vertical="center"/>
    </xf>
    <xf numFmtId="0" fontId="15" fillId="3" borderId="2" applyAlignment="1" pivotButton="0" quotePrefix="0" xfId="0">
      <alignment horizontal="center" vertical="center"/>
    </xf>
    <xf numFmtId="0" fontId="16" fillId="3" borderId="2" applyAlignment="1" pivotButton="0" quotePrefix="0" xfId="0">
      <alignment horizontal="center" vertical="center"/>
    </xf>
    <xf numFmtId="0" fontId="17" fillId="3" borderId="2" applyAlignment="1" pivotButton="0" quotePrefix="0" xfId="0">
      <alignment horizontal="center" vertical="center"/>
    </xf>
    <xf numFmtId="0" fontId="5" fillId="4" borderId="2" applyAlignment="1" pivotButton="0" quotePrefix="0" xfId="0">
      <alignment horizontal="center" vertical="center"/>
    </xf>
    <xf numFmtId="0" fontId="6" fillId="4" borderId="2" applyAlignment="1" pivotButton="0" quotePrefix="0" xfId="0">
      <alignment vertical="center"/>
    </xf>
    <xf numFmtId="0" fontId="7" fillId="4" borderId="2" applyAlignment="1" pivotButton="0" quotePrefix="0" xfId="0">
      <alignment horizontal="center" vertical="center"/>
    </xf>
    <xf numFmtId="164" fontId="8" fillId="4" borderId="2" applyAlignment="1" pivotButton="0" quotePrefix="0" xfId="0">
      <alignment horizontal="right" vertical="center"/>
    </xf>
    <xf numFmtId="0" fontId="9" fillId="4" borderId="2" applyAlignment="1" pivotButton="0" quotePrefix="0" xfId="0">
      <alignment horizontal="center" vertical="center"/>
    </xf>
    <xf numFmtId="0" fontId="10" fillId="4" borderId="2" applyAlignment="1" pivotButton="0" quotePrefix="0" xfId="0">
      <alignment horizontal="center" vertical="center"/>
    </xf>
    <xf numFmtId="164" fontId="11" fillId="4" borderId="2" applyAlignment="1" pivotButton="0" quotePrefix="0" xfId="0">
      <alignment horizontal="right" vertical="center"/>
    </xf>
    <xf numFmtId="0" fontId="12" fillId="4" borderId="2" applyAlignment="1" pivotButton="0" quotePrefix="0" xfId="0">
      <alignment vertical="center" wrapText="1"/>
    </xf>
    <xf numFmtId="0" fontId="0" fillId="4" borderId="2" applyAlignment="1" pivotButton="0" quotePrefix="0" xfId="0">
      <alignment horizontal="center" vertical="center"/>
    </xf>
    <xf numFmtId="0" fontId="16" fillId="4" borderId="2" applyAlignment="1" pivotButton="0" quotePrefix="0" xfId="0">
      <alignment horizontal="center" vertical="center"/>
    </xf>
    <xf numFmtId="0" fontId="15" fillId="4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vertical="center"/>
    </xf>
    <xf numFmtId="0" fontId="7" fillId="5" borderId="2" applyAlignment="1" pivotButton="0" quotePrefix="0" xfId="0">
      <alignment horizontal="center" vertical="center"/>
    </xf>
    <xf numFmtId="164" fontId="8" fillId="5" borderId="2" applyAlignment="1" pivotButton="0" quotePrefix="0" xfId="0">
      <alignment horizontal="right" vertical="center"/>
    </xf>
    <xf numFmtId="0" fontId="9" fillId="5" borderId="2" applyAlignment="1" pivotButton="0" quotePrefix="0" xfId="0">
      <alignment horizontal="center" vertical="center"/>
    </xf>
    <xf numFmtId="0" fontId="10" fillId="5" borderId="2" applyAlignment="1" pivotButton="0" quotePrefix="0" xfId="0">
      <alignment horizontal="center" vertical="center"/>
    </xf>
    <xf numFmtId="164" fontId="11" fillId="5" borderId="2" applyAlignment="1" pivotButton="0" quotePrefix="0" xfId="0">
      <alignment horizontal="right" vertical="center"/>
    </xf>
    <xf numFmtId="0" fontId="12" fillId="5" borderId="2" applyAlignment="1" pivotButton="0" quotePrefix="0" xfId="0">
      <alignment vertical="center" wrapText="1"/>
    </xf>
    <xf numFmtId="0" fontId="0" fillId="5" borderId="2" applyAlignment="1" pivotButton="0" quotePrefix="0" xfId="0">
      <alignment horizontal="center" vertical="center"/>
    </xf>
    <xf numFmtId="0" fontId="16" fillId="5" borderId="2" applyAlignment="1" pivotButton="0" quotePrefix="0" xfId="0">
      <alignment horizontal="center" vertical="center"/>
    </xf>
    <xf numFmtId="0" fontId="15" fillId="5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vertical="center"/>
    </xf>
    <xf numFmtId="0" fontId="7" fillId="6" borderId="2" applyAlignment="1" pivotButton="0" quotePrefix="0" xfId="0">
      <alignment horizontal="center" vertical="center"/>
    </xf>
    <xf numFmtId="164" fontId="8" fillId="6" borderId="2" applyAlignment="1" pivotButton="0" quotePrefix="0" xfId="0">
      <alignment horizontal="right" vertical="center"/>
    </xf>
    <xf numFmtId="0" fontId="9" fillId="6" borderId="2" applyAlignment="1" pivotButton="0" quotePrefix="0" xfId="0">
      <alignment horizontal="center" vertical="center"/>
    </xf>
    <xf numFmtId="0" fontId="10" fillId="6" borderId="2" applyAlignment="1" pivotButton="0" quotePrefix="0" xfId="0">
      <alignment horizontal="center" vertical="center"/>
    </xf>
    <xf numFmtId="164" fontId="11" fillId="6" borderId="2" applyAlignment="1" pivotButton="0" quotePrefix="0" xfId="0">
      <alignment horizontal="right" vertical="center"/>
    </xf>
    <xf numFmtId="0" fontId="12" fillId="6" borderId="2" applyAlignment="1" pivotButton="0" quotePrefix="0" xfId="0">
      <alignment vertical="center" wrapText="1"/>
    </xf>
    <xf numFmtId="0" fontId="0" fillId="6" borderId="2" applyAlignment="1" pivotButton="0" quotePrefix="0" xfId="0">
      <alignment horizontal="center" vertical="center"/>
    </xf>
    <xf numFmtId="0" fontId="17" fillId="6" borderId="2" applyAlignment="1" pivotButton="0" quotePrefix="0" xfId="0">
      <alignment horizontal="center" vertical="center"/>
    </xf>
    <xf numFmtId="0" fontId="5" fillId="7" borderId="2" applyAlignment="1" pivotButton="0" quotePrefix="0" xfId="0">
      <alignment horizontal="center" vertical="center"/>
    </xf>
    <xf numFmtId="0" fontId="6" fillId="7" borderId="2" applyAlignment="1" pivotButton="0" quotePrefix="0" xfId="0">
      <alignment vertical="center"/>
    </xf>
    <xf numFmtId="0" fontId="7" fillId="7" borderId="2" applyAlignment="1" pivotButton="0" quotePrefix="0" xfId="0">
      <alignment horizontal="center" vertical="center"/>
    </xf>
    <xf numFmtId="164" fontId="8" fillId="7" borderId="2" applyAlignment="1" pivotButton="0" quotePrefix="0" xfId="0">
      <alignment horizontal="right" vertical="center"/>
    </xf>
    <xf numFmtId="0" fontId="9" fillId="7" borderId="2" applyAlignment="1" pivotButton="0" quotePrefix="0" xfId="0">
      <alignment horizontal="center" vertical="center"/>
    </xf>
    <xf numFmtId="0" fontId="10" fillId="7" borderId="2" applyAlignment="1" pivotButton="0" quotePrefix="0" xfId="0">
      <alignment horizontal="center" vertical="center"/>
    </xf>
    <xf numFmtId="164" fontId="11" fillId="7" borderId="2" applyAlignment="1" pivotButton="0" quotePrefix="0" xfId="0">
      <alignment horizontal="right" vertical="center"/>
    </xf>
    <xf numFmtId="0" fontId="12" fillId="7" borderId="2" applyAlignment="1" pivotButton="0" quotePrefix="0" xfId="0">
      <alignment vertical="center" wrapText="1"/>
    </xf>
    <xf numFmtId="0" fontId="0" fillId="7" borderId="2" applyAlignment="1" pivotButton="0" quotePrefix="0" xfId="0">
      <alignment horizontal="center" vertical="center"/>
    </xf>
    <xf numFmtId="0" fontId="16" fillId="7" borderId="2" applyAlignment="1" pivotButton="0" quotePrefix="0" xfId="0">
      <alignment horizontal="center" vertical="center"/>
    </xf>
    <xf numFmtId="0" fontId="15" fillId="7" borderId="2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/>
    </xf>
    <xf numFmtId="0" fontId="6" fillId="8" borderId="2" applyAlignment="1" pivotButton="0" quotePrefix="0" xfId="0">
      <alignment vertical="center"/>
    </xf>
    <xf numFmtId="0" fontId="7" fillId="8" borderId="2" applyAlignment="1" pivotButton="0" quotePrefix="0" xfId="0">
      <alignment horizontal="center" vertical="center"/>
    </xf>
    <xf numFmtId="164" fontId="8" fillId="8" borderId="2" applyAlignment="1" pivotButton="0" quotePrefix="0" xfId="0">
      <alignment horizontal="right" vertical="center"/>
    </xf>
    <xf numFmtId="0" fontId="9" fillId="8" borderId="2" applyAlignment="1" pivotButton="0" quotePrefix="0" xfId="0">
      <alignment horizontal="center" vertical="center"/>
    </xf>
    <xf numFmtId="0" fontId="10" fillId="8" borderId="2" applyAlignment="1" pivotButton="0" quotePrefix="0" xfId="0">
      <alignment horizontal="center" vertical="center"/>
    </xf>
    <xf numFmtId="164" fontId="11" fillId="8" borderId="2" applyAlignment="1" pivotButton="0" quotePrefix="0" xfId="0">
      <alignment horizontal="right" vertical="center"/>
    </xf>
    <xf numFmtId="0" fontId="12" fillId="8" borderId="2" applyAlignment="1" pivotButton="0" quotePrefix="0" xfId="0">
      <alignment vertical="center" wrapText="1"/>
    </xf>
    <xf numFmtId="0" fontId="0" fillId="8" borderId="2" applyAlignment="1" pivotButton="0" quotePrefix="0" xfId="0">
      <alignment horizontal="center" vertical="center"/>
    </xf>
    <xf numFmtId="0" fontId="15" fillId="8" borderId="2" applyAlignment="1" pivotButton="0" quotePrefix="0" xfId="0">
      <alignment horizontal="center" vertical="center"/>
    </xf>
    <xf numFmtId="0" fontId="5" fillId="9" borderId="2" applyAlignment="1" pivotButton="0" quotePrefix="0" xfId="0">
      <alignment horizontal="center" vertical="center"/>
    </xf>
    <xf numFmtId="0" fontId="6" fillId="9" borderId="2" applyAlignment="1" pivotButton="0" quotePrefix="0" xfId="0">
      <alignment vertical="center"/>
    </xf>
    <xf numFmtId="0" fontId="7" fillId="9" borderId="2" applyAlignment="1" pivotButton="0" quotePrefix="0" xfId="0">
      <alignment horizontal="center" vertical="center"/>
    </xf>
    <xf numFmtId="164" fontId="8" fillId="9" borderId="2" applyAlignment="1" pivotButton="0" quotePrefix="0" xfId="0">
      <alignment horizontal="right" vertical="center"/>
    </xf>
    <xf numFmtId="0" fontId="9" fillId="9" borderId="2" applyAlignment="1" pivotButton="0" quotePrefix="0" xfId="0">
      <alignment horizontal="center" vertical="center"/>
    </xf>
    <xf numFmtId="0" fontId="10" fillId="9" borderId="2" applyAlignment="1" pivotButton="0" quotePrefix="0" xfId="0">
      <alignment horizontal="center" vertical="center"/>
    </xf>
    <xf numFmtId="164" fontId="11" fillId="9" borderId="2" applyAlignment="1" pivotButton="0" quotePrefix="0" xfId="0">
      <alignment horizontal="right" vertical="center"/>
    </xf>
    <xf numFmtId="0" fontId="12" fillId="9" borderId="2" applyAlignment="1" pivotButton="0" quotePrefix="0" xfId="0">
      <alignment vertical="center" wrapText="1"/>
    </xf>
    <xf numFmtId="0" fontId="0" fillId="9" borderId="2" applyAlignment="1" pivotButton="0" quotePrefix="0" xfId="0">
      <alignment horizontal="center" vertical="center"/>
    </xf>
    <xf numFmtId="0" fontId="17" fillId="9" borderId="2" applyAlignment="1" pivotButton="0" quotePrefix="0" xfId="0">
      <alignment horizontal="center" vertical="center"/>
    </xf>
    <xf numFmtId="0" fontId="5" fillId="10" borderId="2" applyAlignment="1" pivotButton="0" quotePrefix="0" xfId="0">
      <alignment horizontal="center" vertical="center"/>
    </xf>
    <xf numFmtId="0" fontId="6" fillId="10" borderId="2" applyAlignment="1" pivotButton="0" quotePrefix="0" xfId="0">
      <alignment vertical="center"/>
    </xf>
    <xf numFmtId="0" fontId="7" fillId="10" borderId="2" applyAlignment="1" pivotButton="0" quotePrefix="0" xfId="0">
      <alignment horizontal="center" vertical="center"/>
    </xf>
    <xf numFmtId="164" fontId="8" fillId="10" borderId="2" applyAlignment="1" pivotButton="0" quotePrefix="0" xfId="0">
      <alignment horizontal="right" vertical="center"/>
    </xf>
    <xf numFmtId="0" fontId="9" fillId="10" borderId="2" applyAlignment="1" pivotButton="0" quotePrefix="0" xfId="0">
      <alignment horizontal="center" vertical="center"/>
    </xf>
    <xf numFmtId="0" fontId="10" fillId="10" borderId="2" applyAlignment="1" pivotButton="0" quotePrefix="0" xfId="0">
      <alignment horizontal="center" vertical="center"/>
    </xf>
    <xf numFmtId="164" fontId="11" fillId="10" borderId="2" applyAlignment="1" pivotButton="0" quotePrefix="0" xfId="0">
      <alignment horizontal="right" vertical="center"/>
    </xf>
    <xf numFmtId="0" fontId="12" fillId="10" borderId="2" applyAlignment="1" pivotButton="0" quotePrefix="0" xfId="0">
      <alignment vertical="center" wrapText="1"/>
    </xf>
    <xf numFmtId="0" fontId="0" fillId="10" borderId="2" applyAlignment="1" pivotButton="0" quotePrefix="0" xfId="0">
      <alignment horizontal="center" vertical="center"/>
    </xf>
    <xf numFmtId="0" fontId="16" fillId="10" borderId="2" applyAlignment="1" pivotButton="0" quotePrefix="0" xfId="0">
      <alignment horizontal="center" vertical="center"/>
    </xf>
    <xf numFmtId="0" fontId="5" fillId="11" borderId="2" applyAlignment="1" pivotButton="0" quotePrefix="0" xfId="0">
      <alignment horizontal="center" vertical="center"/>
    </xf>
    <xf numFmtId="0" fontId="6" fillId="11" borderId="2" applyAlignment="1" pivotButton="0" quotePrefix="0" xfId="0">
      <alignment vertical="center"/>
    </xf>
    <xf numFmtId="0" fontId="7" fillId="11" borderId="2" applyAlignment="1" pivotButton="0" quotePrefix="0" xfId="0">
      <alignment horizontal="center" vertical="center"/>
    </xf>
    <xf numFmtId="164" fontId="8" fillId="11" borderId="2" applyAlignment="1" pivotButton="0" quotePrefix="0" xfId="0">
      <alignment horizontal="right" vertical="center"/>
    </xf>
    <xf numFmtId="0" fontId="9" fillId="11" borderId="2" applyAlignment="1" pivotButton="0" quotePrefix="0" xfId="0">
      <alignment horizontal="center" vertical="center"/>
    </xf>
    <xf numFmtId="0" fontId="10" fillId="11" borderId="2" applyAlignment="1" pivotButton="0" quotePrefix="0" xfId="0">
      <alignment horizontal="center" vertical="center"/>
    </xf>
    <xf numFmtId="164" fontId="11" fillId="11" borderId="2" applyAlignment="1" pivotButton="0" quotePrefix="0" xfId="0">
      <alignment horizontal="right" vertical="center"/>
    </xf>
    <xf numFmtId="0" fontId="12" fillId="11" borderId="2" applyAlignment="1" pivotButton="0" quotePrefix="0" xfId="0">
      <alignment vertical="center" wrapText="1"/>
    </xf>
    <xf numFmtId="0" fontId="0" fillId="11" borderId="2" applyAlignment="1" pivotButton="0" quotePrefix="0" xfId="0">
      <alignment horizontal="center" vertical="center"/>
    </xf>
    <xf numFmtId="0" fontId="16" fillId="11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6" fillId="12" borderId="2" applyAlignment="1" pivotButton="0" quotePrefix="0" xfId="0">
      <alignment vertical="center"/>
    </xf>
    <xf numFmtId="0" fontId="16" fillId="12" borderId="2" applyAlignment="1" pivotButton="0" quotePrefix="0" xfId="0">
      <alignment horizontal="center" vertical="center"/>
    </xf>
    <xf numFmtId="164" fontId="8" fillId="12" borderId="2" applyAlignment="1" pivotButton="0" quotePrefix="0" xfId="0">
      <alignment horizontal="right" vertical="center"/>
    </xf>
    <xf numFmtId="0" fontId="9" fillId="12" borderId="2" applyAlignment="1" pivotButton="0" quotePrefix="0" xfId="0">
      <alignment horizontal="center" vertical="center"/>
    </xf>
    <xf numFmtId="0" fontId="10" fillId="12" borderId="2" applyAlignment="1" pivotButton="0" quotePrefix="0" xfId="0">
      <alignment horizontal="center" vertical="center"/>
    </xf>
    <xf numFmtId="164" fontId="11" fillId="12" borderId="2" applyAlignment="1" pivotButton="0" quotePrefix="0" xfId="0">
      <alignment horizontal="right" vertical="center"/>
    </xf>
    <xf numFmtId="0" fontId="12" fillId="12" borderId="2" applyAlignment="1" pivotButton="0" quotePrefix="0" xfId="0">
      <alignment vertical="center" wrapText="1"/>
    </xf>
    <xf numFmtId="0" fontId="0" fillId="12" borderId="2" applyAlignment="1" pivotButton="0" quotePrefix="0" xfId="0">
      <alignment horizontal="center" vertical="center"/>
    </xf>
    <xf numFmtId="0" fontId="15" fillId="12" borderId="2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/>
    </xf>
    <xf numFmtId="164" fontId="8" fillId="3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164" fontId="8" fillId="4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164" fontId="8" fillId="5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164" fontId="8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164" fontId="8" fillId="7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164" fontId="8" fillId="8" borderId="2" applyAlignment="1" pivotButton="0" quotePrefix="0" xfId="0">
      <alignment horizontal="center" vertical="center"/>
    </xf>
    <xf numFmtId="0" fontId="6" fillId="9" borderId="2" applyAlignment="1" pivotButton="0" quotePrefix="0" xfId="0">
      <alignment horizontal="center" vertical="center"/>
    </xf>
    <xf numFmtId="164" fontId="8" fillId="9" borderId="2" applyAlignment="1" pivotButton="0" quotePrefix="0" xfId="0">
      <alignment horizontal="center" vertical="center"/>
    </xf>
    <xf numFmtId="0" fontId="6" fillId="10" borderId="2" applyAlignment="1" pivotButton="0" quotePrefix="0" xfId="0">
      <alignment horizontal="center" vertical="center"/>
    </xf>
    <xf numFmtId="164" fontId="8" fillId="10" borderId="2" applyAlignment="1" pivotButton="0" quotePrefix="0" xfId="0">
      <alignment horizontal="center" vertical="center"/>
    </xf>
    <xf numFmtId="0" fontId="6" fillId="11" borderId="2" applyAlignment="1" pivotButton="0" quotePrefix="0" xfId="0">
      <alignment horizontal="center" vertical="center"/>
    </xf>
    <xf numFmtId="164" fontId="8" fillId="11" borderId="2" applyAlignment="1" pivotButton="0" quotePrefix="0" xfId="0">
      <alignment horizontal="center" vertical="center"/>
    </xf>
    <xf numFmtId="0" fontId="6" fillId="12" borderId="2" applyAlignment="1" pivotButton="0" quotePrefix="0" xfId="0">
      <alignment horizontal="center" vertical="center"/>
    </xf>
    <xf numFmtId="164" fontId="8" fillId="12" borderId="2" applyAlignment="1" pivotButton="0" quotePrefix="0" xfId="0">
      <alignment horizontal="center" vertical="center"/>
    </xf>
    <xf numFmtId="164" fontId="6" fillId="12" borderId="2" applyAlignment="1" pivotButton="0" quotePrefix="0" xfId="0">
      <alignment horizontal="center" vertical="center"/>
    </xf>
    <xf numFmtId="0" fontId="19" fillId="7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2" fontId="21" fillId="14" borderId="0" applyAlignment="1" pivotButton="0" quotePrefix="0" xfId="0">
      <alignment horizontal="center"/>
    </xf>
    <xf numFmtId="0" fontId="4" fillId="13" borderId="1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 vertical="center"/>
    </xf>
    <xf numFmtId="0" fontId="6" fillId="4" borderId="2" applyAlignment="1" pivotButton="0" quotePrefix="0" xfId="0">
      <alignment horizontal="left" vertical="center"/>
    </xf>
    <xf numFmtId="0" fontId="6" fillId="5" borderId="2" applyAlignment="1" pivotButton="0" quotePrefix="0" xfId="0">
      <alignment horizontal="left" vertical="center"/>
    </xf>
    <xf numFmtId="0" fontId="6" fillId="6" borderId="2" applyAlignment="1" pivotButton="0" quotePrefix="0" xfId="0">
      <alignment horizontal="left" vertical="center"/>
    </xf>
    <xf numFmtId="0" fontId="6" fillId="7" borderId="2" applyAlignment="1" pivotButton="0" quotePrefix="0" xfId="0">
      <alignment horizontal="left" vertical="center"/>
    </xf>
    <xf numFmtId="0" fontId="6" fillId="8" borderId="2" applyAlignment="1" pivotButton="0" quotePrefix="0" xfId="0">
      <alignment horizontal="left" vertical="center"/>
    </xf>
    <xf numFmtId="0" fontId="6" fillId="9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2" customWidth="1" min="2" max="2"/>
    <col width="10" customWidth="1" min="3" max="3"/>
    <col width="12" customWidth="1" min="4" max="4"/>
    <col width="13" customWidth="1" min="5" max="5"/>
    <col width="10" customWidth="1" min="6" max="6"/>
    <col width="14" customWidth="1" min="7" max="7"/>
    <col width="13" customWidth="1" min="8" max="8"/>
    <col width="30" customWidth="1" min="9" max="9"/>
  </cols>
  <sheetData>
    <row r="1" ht="28" customHeight="1">
      <c r="A1" s="1" t="inlineStr">
        <is>
          <t>AI 模型 API 定价总览  ·  AI Model API Pricing (March 2026)</t>
        </is>
      </c>
    </row>
    <row r="2" ht="16" customHeight="1">
      <c r="A2" s="2" t="inlineStr">
        <is>
          <t>数据来源 Sources: costgoat.com · awesomeagents.ai  |  价格单位: USD / 百万 Token (1M tokens)  |  每50%批量折扣适用于所有主流服务商</t>
        </is>
      </c>
    </row>
    <row r="3" ht="30" customHeight="1">
      <c r="A3" s="3" t="inlineStr">
        <is>
          <t>服务商
Provider</t>
        </is>
      </c>
      <c r="B3" s="3" t="inlineStr">
        <is>
          <t>模型
Model</t>
        </is>
      </c>
      <c r="C3" s="3" t="inlineStr">
        <is>
          <t>档次
Tier</t>
        </is>
      </c>
      <c r="D3" s="3" t="inlineStr">
        <is>
          <t>输入价格
Input ($/1M)</t>
        </is>
      </c>
      <c r="E3" s="3" t="inlineStr">
        <is>
          <t>输出价格
Output ($/1M)</t>
        </is>
      </c>
      <c r="F3" s="3" t="inlineStr">
        <is>
          <t>上下文
Context</t>
        </is>
      </c>
      <c r="G3" s="3" t="inlineStr">
        <is>
          <t>缓存价格
Cached Input</t>
        </is>
      </c>
      <c r="H3" s="3" t="inlineStr">
        <is>
          <t>批量价格
Batch Input</t>
        </is>
      </c>
      <c r="I3" s="3" t="inlineStr">
        <is>
          <t>备注
Notes</t>
        </is>
      </c>
    </row>
    <row r="4" ht="16" customHeight="1">
      <c r="A4" s="4" t="inlineStr">
        <is>
          <t>OpenAI</t>
        </is>
      </c>
      <c r="B4" s="5" t="inlineStr">
        <is>
          <t>GPT-5.4</t>
        </is>
      </c>
      <c r="C4" s="6" t="inlineStr">
        <is>
          <t>Flagship</t>
        </is>
      </c>
      <c r="D4" s="7" t="n">
        <v>2.5</v>
      </c>
      <c r="E4" s="7" t="n">
        <v>15</v>
      </c>
      <c r="F4" s="8" t="inlineStr">
        <is>
          <t>272K</t>
        </is>
      </c>
      <c r="G4" s="9" t="inlineStr">
        <is>
          <t>~$0.25 cached</t>
        </is>
      </c>
      <c r="H4" s="10">
        <f>D4*0.5</f>
        <v/>
      </c>
      <c r="I4" s="11" t="inlineStr">
        <is>
          <t>OpenAI flagship; 2x price &gt;272K ctx</t>
        </is>
      </c>
    </row>
    <row r="5" ht="16" customHeight="1">
      <c r="A5" s="12" t="inlineStr"/>
      <c r="B5" s="5" t="inlineStr">
        <is>
          <t>GPT-5.4 Pro</t>
        </is>
      </c>
      <c r="C5" s="13" t="inlineStr">
        <is>
          <t>Ultra</t>
        </is>
      </c>
      <c r="D5" s="7" t="n">
        <v>30</v>
      </c>
      <c r="E5" s="7" t="n">
        <v>180</v>
      </c>
      <c r="F5" s="8" t="inlineStr">
        <is>
          <t>272K</t>
        </is>
      </c>
      <c r="G5" s="9" t="inlineStr">
        <is>
          <t>-</t>
        </is>
      </c>
      <c r="H5" s="10">
        <f>D5*0.5</f>
        <v/>
      </c>
      <c r="I5" s="11" t="inlineStr">
        <is>
          <t>Ultra-premium; researchers/agents</t>
        </is>
      </c>
    </row>
    <row r="6" ht="16" customHeight="1">
      <c r="A6" s="12" t="inlineStr"/>
      <c r="B6" s="5" t="inlineStr">
        <is>
          <t>GPT-5.2</t>
        </is>
      </c>
      <c r="C6" s="14" t="inlineStr">
        <is>
          <t>Advanced</t>
        </is>
      </c>
      <c r="D6" s="7" t="n">
        <v>1.75</v>
      </c>
      <c r="E6" s="7" t="n">
        <v>14</v>
      </c>
      <c r="F6" s="8" t="inlineStr">
        <is>
          <t>400K</t>
        </is>
      </c>
      <c r="G6" s="9" t="inlineStr">
        <is>
          <t>~$0.18 cached</t>
        </is>
      </c>
      <c r="H6" s="10">
        <f>D6*0.5</f>
        <v/>
      </c>
      <c r="I6" s="11" t="inlineStr">
        <is>
          <t>Strong reasoning</t>
        </is>
      </c>
    </row>
    <row r="7" ht="16" customHeight="1">
      <c r="A7" s="12" t="inlineStr"/>
      <c r="B7" s="5" t="inlineStr">
        <is>
          <t>GPT-5.2 Pro</t>
        </is>
      </c>
      <c r="C7" s="13" t="inlineStr">
        <is>
          <t>Ultra</t>
        </is>
      </c>
      <c r="D7" s="7" t="n">
        <v>21</v>
      </c>
      <c r="E7" s="7" t="n">
        <v>168</v>
      </c>
      <c r="F7" s="8" t="inlineStr">
        <is>
          <t>400K</t>
        </is>
      </c>
      <c r="G7" s="9" t="inlineStr">
        <is>
          <t>-</t>
        </is>
      </c>
      <c r="H7" s="10">
        <f>D7*0.5</f>
        <v/>
      </c>
      <c r="I7" s="11" t="inlineStr">
        <is>
          <t>Pro variant</t>
        </is>
      </c>
    </row>
    <row r="8" ht="16" customHeight="1">
      <c r="A8" s="12" t="inlineStr"/>
      <c r="B8" s="5" t="inlineStr">
        <is>
          <t>GPT-5.1</t>
        </is>
      </c>
      <c r="C8" s="14" t="inlineStr">
        <is>
          <t>Advanced</t>
        </is>
      </c>
      <c r="D8" s="7" t="n">
        <v>1.25</v>
      </c>
      <c r="E8" s="7" t="n">
        <v>10</v>
      </c>
      <c r="F8" s="8" t="inlineStr">
        <is>
          <t>400K</t>
        </is>
      </c>
      <c r="G8" s="9" t="inlineStr">
        <is>
          <t>~$0.13 cached</t>
        </is>
      </c>
      <c r="H8" s="10">
        <f>D8*0.5</f>
        <v/>
      </c>
      <c r="I8" s="11" t="inlineStr"/>
    </row>
    <row r="9" ht="16" customHeight="1">
      <c r="A9" s="12" t="inlineStr"/>
      <c r="B9" s="5" t="inlineStr">
        <is>
          <t>GPT-5</t>
        </is>
      </c>
      <c r="C9" s="14" t="inlineStr">
        <is>
          <t>Advanced</t>
        </is>
      </c>
      <c r="D9" s="7" t="n">
        <v>1.25</v>
      </c>
      <c r="E9" s="7" t="n">
        <v>10</v>
      </c>
      <c r="F9" s="8" t="inlineStr">
        <is>
          <t>400K</t>
        </is>
      </c>
      <c r="G9" s="9" t="inlineStr">
        <is>
          <t>~$0.13 cached</t>
        </is>
      </c>
      <c r="H9" s="10">
        <f>D9*0.5</f>
        <v/>
      </c>
      <c r="I9" s="11" t="inlineStr"/>
    </row>
    <row r="10" ht="16" customHeight="1">
      <c r="A10" s="12" t="inlineStr"/>
      <c r="B10" s="5" t="inlineStr">
        <is>
          <t>GPT-5 Pro</t>
        </is>
      </c>
      <c r="C10" s="13" t="inlineStr">
        <is>
          <t>Ultra</t>
        </is>
      </c>
      <c r="D10" s="7" t="n">
        <v>15</v>
      </c>
      <c r="E10" s="7" t="n">
        <v>120</v>
      </c>
      <c r="F10" s="8" t="inlineStr">
        <is>
          <t>400K</t>
        </is>
      </c>
      <c r="G10" s="9" t="inlineStr">
        <is>
          <t>-</t>
        </is>
      </c>
      <c r="H10" s="10">
        <f>D10*0.5</f>
        <v/>
      </c>
      <c r="I10" s="11" t="inlineStr"/>
    </row>
    <row r="11" ht="16" customHeight="1">
      <c r="A11" s="12" t="inlineStr"/>
      <c r="B11" s="5" t="inlineStr">
        <is>
          <t>GPT-5 Mini</t>
        </is>
      </c>
      <c r="C11" s="15" t="inlineStr">
        <is>
          <t>Budget</t>
        </is>
      </c>
      <c r="D11" s="7" t="n">
        <v>0.25</v>
      </c>
      <c r="E11" s="7" t="n">
        <v>2</v>
      </c>
      <c r="F11" s="8" t="inlineStr">
        <is>
          <t>400K</t>
        </is>
      </c>
      <c r="G11" s="9" t="inlineStr">
        <is>
          <t>~$0.025 cached</t>
        </is>
      </c>
      <c r="H11" s="10">
        <f>D11*0.5</f>
        <v/>
      </c>
      <c r="I11" s="11" t="inlineStr"/>
    </row>
    <row r="12" ht="16" customHeight="1">
      <c r="A12" s="12" t="inlineStr"/>
      <c r="B12" s="5" t="inlineStr">
        <is>
          <t>GPT-4.1</t>
        </is>
      </c>
      <c r="C12" s="16" t="inlineStr">
        <is>
          <t>Mid</t>
        </is>
      </c>
      <c r="D12" s="7" t="n">
        <v>2</v>
      </c>
      <c r="E12" s="7" t="n">
        <v>8</v>
      </c>
      <c r="F12" s="8" t="inlineStr">
        <is>
          <t>1M</t>
        </is>
      </c>
      <c r="G12" s="9" t="inlineStr">
        <is>
          <t>~$0.20 cached</t>
        </is>
      </c>
      <c r="H12" s="10">
        <f>D12*0.5</f>
        <v/>
      </c>
      <c r="I12" s="11" t="inlineStr">
        <is>
          <t>Long context, strong code</t>
        </is>
      </c>
    </row>
    <row r="13" ht="16" customHeight="1">
      <c r="A13" s="12" t="inlineStr"/>
      <c r="B13" s="5" t="inlineStr">
        <is>
          <t>GPT-4.1 mini</t>
        </is>
      </c>
      <c r="C13" s="15" t="inlineStr">
        <is>
          <t>Budget</t>
        </is>
      </c>
      <c r="D13" s="7" t="n">
        <v>0.4</v>
      </c>
      <c r="E13" s="7" t="n">
        <v>1.6</v>
      </c>
      <c r="F13" s="8" t="inlineStr">
        <is>
          <t>128K</t>
        </is>
      </c>
      <c r="G13" s="9" t="inlineStr">
        <is>
          <t>~$0.04 cached</t>
        </is>
      </c>
      <c r="H13" s="10">
        <f>D13*0.5</f>
        <v/>
      </c>
      <c r="I13" s="11" t="inlineStr"/>
    </row>
    <row r="14" ht="16" customHeight="1">
      <c r="A14" s="12" t="inlineStr"/>
      <c r="B14" s="5" t="inlineStr">
        <is>
          <t>GPT-4o mini</t>
        </is>
      </c>
      <c r="C14" s="15" t="inlineStr">
        <is>
          <t>Budget</t>
        </is>
      </c>
      <c r="D14" s="7" t="n">
        <v>0.15</v>
      </c>
      <c r="E14" s="7" t="n">
        <v>0.6</v>
      </c>
      <c r="F14" s="8" t="inlineStr">
        <is>
          <t>128K</t>
        </is>
      </c>
      <c r="G14" s="9" t="inlineStr">
        <is>
          <t>~$0.015 cached</t>
        </is>
      </c>
      <c r="H14" s="10">
        <f>D14*0.5</f>
        <v/>
      </c>
      <c r="I14" s="11" t="inlineStr">
        <is>
          <t>Legacy, still popular</t>
        </is>
      </c>
    </row>
    <row r="15" ht="16" customHeight="1">
      <c r="A15" s="12" t="inlineStr"/>
      <c r="B15" s="5" t="inlineStr">
        <is>
          <t>o4-mini</t>
        </is>
      </c>
      <c r="C15" s="17" t="inlineStr">
        <is>
          <t>Reasoning</t>
        </is>
      </c>
      <c r="D15" s="7" t="n">
        <v>1.1</v>
      </c>
      <c r="E15" s="7" t="n">
        <v>4.4</v>
      </c>
      <c r="F15" s="8" t="inlineStr">
        <is>
          <t>128K</t>
        </is>
      </c>
      <c r="G15" s="9" t="inlineStr">
        <is>
          <t>~$0.11 cached</t>
        </is>
      </c>
      <c r="H15" s="10">
        <f>D15*0.5</f>
        <v/>
      </c>
      <c r="I15" s="11" t="inlineStr">
        <is>
          <t>Affordable reasoning model</t>
        </is>
      </c>
    </row>
    <row r="16" ht="16" customHeight="1">
      <c r="A16" s="12" t="inlineStr"/>
      <c r="B16" s="5" t="inlineStr">
        <is>
          <t>o3</t>
        </is>
      </c>
      <c r="C16" s="17" t="inlineStr">
        <is>
          <t>Reasoning</t>
        </is>
      </c>
      <c r="D16" s="7" t="n">
        <v>2</v>
      </c>
      <c r="E16" s="7" t="n">
        <v>8</v>
      </c>
      <c r="F16" s="8" t="inlineStr">
        <is>
          <t>200K</t>
        </is>
      </c>
      <c r="G16" s="9" t="inlineStr">
        <is>
          <t>-</t>
        </is>
      </c>
      <c r="H16" s="10">
        <f>D16*0.5</f>
        <v/>
      </c>
      <c r="I16" s="11" t="inlineStr">
        <is>
          <t>Heavy reasoning</t>
        </is>
      </c>
    </row>
    <row r="17" ht="16" customHeight="1">
      <c r="A17" s="12" t="inlineStr"/>
      <c r="B17" s="5" t="inlineStr">
        <is>
          <t>o3-pro</t>
        </is>
      </c>
      <c r="C17" s="17" t="inlineStr">
        <is>
          <t>Reasoning</t>
        </is>
      </c>
      <c r="D17" s="7" t="n">
        <v>20</v>
      </c>
      <c r="E17" s="7" t="n">
        <v>80</v>
      </c>
      <c r="F17" s="8" t="inlineStr">
        <is>
          <t>200K</t>
        </is>
      </c>
      <c r="G17" s="9" t="inlineStr">
        <is>
          <t>-</t>
        </is>
      </c>
      <c r="H17" s="10">
        <f>D17*0.5</f>
        <v/>
      </c>
      <c r="I17" s="11" t="inlineStr"/>
    </row>
    <row r="18" ht="16" customHeight="1">
      <c r="A18" s="12" t="inlineStr"/>
      <c r="B18" s="5" t="inlineStr">
        <is>
          <t>o1</t>
        </is>
      </c>
      <c r="C18" s="17" t="inlineStr">
        <is>
          <t>Reasoning</t>
        </is>
      </c>
      <c r="D18" s="7" t="n">
        <v>15</v>
      </c>
      <c r="E18" s="7" t="n">
        <v>60</v>
      </c>
      <c r="F18" s="8" t="inlineStr">
        <is>
          <t>128K</t>
        </is>
      </c>
      <c r="G18" s="9" t="inlineStr">
        <is>
          <t>-</t>
        </is>
      </c>
      <c r="H18" s="10">
        <f>D18*0.5</f>
        <v/>
      </c>
      <c r="I18" s="11" t="inlineStr">
        <is>
          <t>Legacy reasoning</t>
        </is>
      </c>
    </row>
    <row r="19" ht="16" customHeight="1">
      <c r="A19" s="18" t="inlineStr">
        <is>
          <t>Anthropic</t>
        </is>
      </c>
      <c r="B19" s="19" t="inlineStr">
        <is>
          <t>Claude Opus 4.6</t>
        </is>
      </c>
      <c r="C19" s="20" t="inlineStr">
        <is>
          <t>Flagship</t>
        </is>
      </c>
      <c r="D19" s="21" t="n">
        <v>5</v>
      </c>
      <c r="E19" s="21" t="n">
        <v>25</v>
      </c>
      <c r="F19" s="22" t="inlineStr">
        <is>
          <t>200K</t>
        </is>
      </c>
      <c r="G19" s="23" t="inlineStr">
        <is>
          <t>~$0.50 cached</t>
        </is>
      </c>
      <c r="H19" s="24">
        <f>D19*0.5</f>
        <v/>
      </c>
      <c r="I19" s="25" t="inlineStr">
        <is>
          <t>Top reasoning &amp; agentic; 2x &gt;200K</t>
        </is>
      </c>
    </row>
    <row r="20" ht="16" customHeight="1">
      <c r="A20" s="26" t="inlineStr"/>
      <c r="B20" s="19" t="inlineStr">
        <is>
          <t>Claude Opus 4.5</t>
        </is>
      </c>
      <c r="C20" s="20" t="inlineStr">
        <is>
          <t>Flagship</t>
        </is>
      </c>
      <c r="D20" s="21" t="n">
        <v>5</v>
      </c>
      <c r="E20" s="21" t="n">
        <v>25</v>
      </c>
      <c r="F20" s="22" t="inlineStr">
        <is>
          <t>200K</t>
        </is>
      </c>
      <c r="G20" s="23" t="inlineStr">
        <is>
          <t>~$0.50 cached</t>
        </is>
      </c>
      <c r="H20" s="24">
        <f>D20*0.5</f>
        <v/>
      </c>
      <c r="I20" s="25" t="inlineStr"/>
    </row>
    <row r="21" ht="16" customHeight="1">
      <c r="A21" s="26" t="inlineStr"/>
      <c r="B21" s="19" t="inlineStr">
        <is>
          <t>Claude Sonnet 4.6</t>
        </is>
      </c>
      <c r="C21" s="27" t="inlineStr">
        <is>
          <t>Mid</t>
        </is>
      </c>
      <c r="D21" s="21" t="n">
        <v>3</v>
      </c>
      <c r="E21" s="21" t="n">
        <v>15</v>
      </c>
      <c r="F21" s="22" t="inlineStr">
        <is>
          <t>1M</t>
        </is>
      </c>
      <c r="G21" s="23" t="inlineStr">
        <is>
          <t>~$0.30 cached</t>
        </is>
      </c>
      <c r="H21" s="24">
        <f>D21*0.5</f>
        <v/>
      </c>
      <c r="I21" s="25" t="inlineStr">
        <is>
          <t>Best mid-tier for code</t>
        </is>
      </c>
    </row>
    <row r="22" ht="16" customHeight="1">
      <c r="A22" s="26" t="inlineStr"/>
      <c r="B22" s="19" t="inlineStr">
        <is>
          <t>Claude Sonnet 4.5</t>
        </is>
      </c>
      <c r="C22" s="27" t="inlineStr">
        <is>
          <t>Mid</t>
        </is>
      </c>
      <c r="D22" s="21" t="n">
        <v>3</v>
      </c>
      <c r="E22" s="21" t="n">
        <v>15</v>
      </c>
      <c r="F22" s="22" t="inlineStr">
        <is>
          <t>1M</t>
        </is>
      </c>
      <c r="G22" s="23" t="inlineStr">
        <is>
          <t>~$0.30 cached</t>
        </is>
      </c>
      <c r="H22" s="24">
        <f>D22*0.5</f>
        <v/>
      </c>
      <c r="I22" s="25" t="inlineStr"/>
    </row>
    <row r="23" ht="16" customHeight="1">
      <c r="A23" s="26" t="inlineStr"/>
      <c r="B23" s="19" t="inlineStr">
        <is>
          <t>Claude Haiku 4.5</t>
        </is>
      </c>
      <c r="C23" s="28" t="inlineStr">
        <is>
          <t>Budget</t>
        </is>
      </c>
      <c r="D23" s="21" t="n">
        <v>0.8</v>
      </c>
      <c r="E23" s="21" t="n">
        <v>4</v>
      </c>
      <c r="F23" s="22" t="inlineStr">
        <is>
          <t>200K</t>
        </is>
      </c>
      <c r="G23" s="23" t="inlineStr">
        <is>
          <t>~$0.08 cached</t>
        </is>
      </c>
      <c r="H23" s="24">
        <f>D23*0.5</f>
        <v/>
      </c>
      <c r="I23" s="25" t="inlineStr">
        <is>
          <t>Fast &amp; cheap</t>
        </is>
      </c>
    </row>
    <row r="24" ht="16" customHeight="1">
      <c r="A24" s="29" t="inlineStr">
        <is>
          <t>Google</t>
        </is>
      </c>
      <c r="B24" s="30" t="inlineStr">
        <is>
          <t>Gemini 3.1 Pro</t>
        </is>
      </c>
      <c r="C24" s="31" t="inlineStr">
        <is>
          <t>Flagship</t>
        </is>
      </c>
      <c r="D24" s="32" t="n">
        <v>2</v>
      </c>
      <c r="E24" s="32" t="n">
        <v>12</v>
      </c>
      <c r="F24" s="33" t="inlineStr">
        <is>
          <t>1M</t>
        </is>
      </c>
      <c r="G24" s="34" t="inlineStr">
        <is>
          <t>~$0.20 cached</t>
        </is>
      </c>
      <c r="H24" s="35">
        <f>D24*0.5</f>
        <v/>
      </c>
      <c r="I24" s="36" t="inlineStr">
        <is>
          <t>Google flagship; 2x &gt;200K</t>
        </is>
      </c>
    </row>
    <row r="25" ht="16" customHeight="1">
      <c r="A25" s="37" t="inlineStr"/>
      <c r="B25" s="30" t="inlineStr">
        <is>
          <t>Gemini 3 Pro</t>
        </is>
      </c>
      <c r="C25" s="31" t="inlineStr">
        <is>
          <t>Flagship</t>
        </is>
      </c>
      <c r="D25" s="32" t="n">
        <v>2</v>
      </c>
      <c r="E25" s="32" t="n">
        <v>12</v>
      </c>
      <c r="F25" s="33" t="inlineStr">
        <is>
          <t>1M</t>
        </is>
      </c>
      <c r="G25" s="34" t="inlineStr">
        <is>
          <t>~$0.20 cached</t>
        </is>
      </c>
      <c r="H25" s="35">
        <f>D25*0.5</f>
        <v/>
      </c>
      <c r="I25" s="36" t="inlineStr"/>
    </row>
    <row r="26" ht="16" customHeight="1">
      <c r="A26" s="37" t="inlineStr"/>
      <c r="B26" s="30" t="inlineStr">
        <is>
          <t>Gemini 3 Flash</t>
        </is>
      </c>
      <c r="C26" s="38" t="inlineStr">
        <is>
          <t>Mid</t>
        </is>
      </c>
      <c r="D26" s="32" t="n">
        <v>0.5</v>
      </c>
      <c r="E26" s="32" t="n">
        <v>3</v>
      </c>
      <c r="F26" s="33" t="inlineStr">
        <is>
          <t>1M</t>
        </is>
      </c>
      <c r="G26" s="34" t="inlineStr">
        <is>
          <t>~$0.05 cached</t>
        </is>
      </c>
      <c r="H26" s="35">
        <f>D26*0.5</f>
        <v/>
      </c>
      <c r="I26" s="36" t="inlineStr">
        <is>
          <t>Latest Flash</t>
        </is>
      </c>
    </row>
    <row r="27" ht="16" customHeight="1">
      <c r="A27" s="37" t="inlineStr"/>
      <c r="B27" s="30" t="inlineStr">
        <is>
          <t>Gemini 2.5 Pro</t>
        </is>
      </c>
      <c r="C27" s="38" t="inlineStr">
        <is>
          <t>Mid</t>
        </is>
      </c>
      <c r="D27" s="32" t="n">
        <v>1.25</v>
      </c>
      <c r="E27" s="32" t="n">
        <v>10</v>
      </c>
      <c r="F27" s="33" t="inlineStr">
        <is>
          <t>1M</t>
        </is>
      </c>
      <c r="G27" s="34" t="inlineStr">
        <is>
          <t>~$0.13 cached</t>
        </is>
      </c>
      <c r="H27" s="35">
        <f>D27*0.5</f>
        <v/>
      </c>
      <c r="I27" s="36" t="inlineStr">
        <is>
          <t>Long context</t>
        </is>
      </c>
    </row>
    <row r="28" ht="16" customHeight="1">
      <c r="A28" s="37" t="inlineStr"/>
      <c r="B28" s="30" t="inlineStr">
        <is>
          <t>Gemini 2.5 Flash</t>
        </is>
      </c>
      <c r="C28" s="39" t="inlineStr">
        <is>
          <t>Budget</t>
        </is>
      </c>
      <c r="D28" s="32" t="n">
        <v>0.3</v>
      </c>
      <c r="E28" s="32" t="n">
        <v>2.5</v>
      </c>
      <c r="F28" s="33" t="inlineStr">
        <is>
          <t>1M</t>
        </is>
      </c>
      <c r="G28" s="34" t="inlineStr">
        <is>
          <t>~$0.03 cached</t>
        </is>
      </c>
      <c r="H28" s="35">
        <f>D28*0.5</f>
        <v/>
      </c>
      <c r="I28" s="36" t="inlineStr">
        <is>
          <t>Solid mid-tier</t>
        </is>
      </c>
    </row>
    <row r="29" ht="16" customHeight="1">
      <c r="A29" s="37" t="inlineStr"/>
      <c r="B29" s="30" t="inlineStr">
        <is>
          <t>Gemini 2.5 Flash-Lite</t>
        </is>
      </c>
      <c r="C29" s="39" t="inlineStr">
        <is>
          <t>Budget</t>
        </is>
      </c>
      <c r="D29" s="32" t="n">
        <v>0.1</v>
      </c>
      <c r="E29" s="32" t="n">
        <v>0.4</v>
      </c>
      <c r="F29" s="33" t="inlineStr">
        <is>
          <t>1M</t>
        </is>
      </c>
      <c r="G29" s="34" t="inlineStr">
        <is>
          <t>-</t>
        </is>
      </c>
      <c r="H29" s="35">
        <f>D29*0.5</f>
        <v/>
      </c>
      <c r="I29" s="36" t="inlineStr">
        <is>
          <t>Cheapest Google option</t>
        </is>
      </c>
    </row>
    <row r="30" ht="16" customHeight="1">
      <c r="A30" s="40" t="inlineStr">
        <is>
          <t>DeepSeek</t>
        </is>
      </c>
      <c r="B30" s="41" t="inlineStr">
        <is>
          <t>DeepSeek V3.2</t>
        </is>
      </c>
      <c r="C30" s="42" t="inlineStr">
        <is>
          <t>Flagship</t>
        </is>
      </c>
      <c r="D30" s="43" t="n">
        <v>0.28</v>
      </c>
      <c r="E30" s="43" t="n">
        <v>0.42</v>
      </c>
      <c r="F30" s="44" t="inlineStr">
        <is>
          <t>164K</t>
        </is>
      </c>
      <c r="G30" s="45" t="inlineStr">
        <is>
          <t>$0.028 auto</t>
        </is>
      </c>
      <c r="H30" s="46">
        <f>D30*0.5</f>
        <v/>
      </c>
      <c r="I30" s="47" t="inlineStr">
        <is>
          <t>Best value; auto cache 90% off</t>
        </is>
      </c>
    </row>
    <row r="31" ht="16" customHeight="1">
      <c r="A31" s="48" t="inlineStr"/>
      <c r="B31" s="41" t="inlineStr">
        <is>
          <t>DeepSeek R1</t>
        </is>
      </c>
      <c r="C31" s="49" t="inlineStr">
        <is>
          <t>Reasoning</t>
        </is>
      </c>
      <c r="D31" s="43" t="n">
        <v>0.55</v>
      </c>
      <c r="E31" s="43" t="n">
        <v>2.19</v>
      </c>
      <c r="F31" s="44" t="inlineStr">
        <is>
          <t>164K</t>
        </is>
      </c>
      <c r="G31" s="45" t="inlineStr">
        <is>
          <t>$0.055 auto</t>
        </is>
      </c>
      <c r="H31" s="46">
        <f>D31*0.5</f>
        <v/>
      </c>
      <c r="I31" s="47" t="inlineStr">
        <is>
          <t>Reasoning; open-weight</t>
        </is>
      </c>
    </row>
    <row r="32" ht="16" customHeight="1">
      <c r="A32" s="50" t="inlineStr">
        <is>
          <t>Mistral</t>
        </is>
      </c>
      <c r="B32" s="51" t="inlineStr">
        <is>
          <t>Mistral Large 3</t>
        </is>
      </c>
      <c r="C32" s="52" t="inlineStr">
        <is>
          <t>Flagship</t>
        </is>
      </c>
      <c r="D32" s="53" t="n">
        <v>0.5</v>
      </c>
      <c r="E32" s="53" t="n">
        <v>1.5</v>
      </c>
      <c r="F32" s="54" t="inlineStr">
        <is>
          <t>128K</t>
        </is>
      </c>
      <c r="G32" s="55" t="inlineStr">
        <is>
          <t>-</t>
        </is>
      </c>
      <c r="H32" s="56">
        <f>D32*0.5</f>
        <v/>
      </c>
      <c r="I32" s="57" t="inlineStr">
        <is>
          <t>Strong multilingual</t>
        </is>
      </c>
    </row>
    <row r="33" ht="16" customHeight="1">
      <c r="A33" s="58" t="inlineStr"/>
      <c r="B33" s="51" t="inlineStr">
        <is>
          <t>Mistral Small 3.1</t>
        </is>
      </c>
      <c r="C33" s="59" t="inlineStr">
        <is>
          <t>Mid</t>
        </is>
      </c>
      <c r="D33" s="53" t="n">
        <v>0.1</v>
      </c>
      <c r="E33" s="53" t="n">
        <v>0.3</v>
      </c>
      <c r="F33" s="54" t="inlineStr">
        <is>
          <t>128K</t>
        </is>
      </c>
      <c r="G33" s="55" t="inlineStr">
        <is>
          <t>-</t>
        </is>
      </c>
      <c r="H33" s="56">
        <f>D33*0.5</f>
        <v/>
      </c>
      <c r="I33" s="57" t="inlineStr">
        <is>
          <t>Structured tasks</t>
        </is>
      </c>
    </row>
    <row r="34" ht="16" customHeight="1">
      <c r="A34" s="58" t="inlineStr"/>
      <c r="B34" s="51" t="inlineStr">
        <is>
          <t>Mistral Nemo</t>
        </is>
      </c>
      <c r="C34" s="60" t="inlineStr">
        <is>
          <t>Budget</t>
        </is>
      </c>
      <c r="D34" s="53" t="n">
        <v>0.02</v>
      </c>
      <c r="E34" s="53" t="n">
        <v>0.04</v>
      </c>
      <c r="F34" s="54" t="inlineStr">
        <is>
          <t>128K</t>
        </is>
      </c>
      <c r="G34" s="55" t="inlineStr">
        <is>
          <t>-</t>
        </is>
      </c>
      <c r="H34" s="56">
        <f>D34*0.5</f>
        <v/>
      </c>
      <c r="I34" s="57" t="inlineStr">
        <is>
          <t>Cheapest commercial API</t>
        </is>
      </c>
    </row>
    <row r="35" ht="16" customHeight="1">
      <c r="A35" s="58" t="inlineStr"/>
      <c r="B35" s="51" t="inlineStr">
        <is>
          <t>Ministral 3B</t>
        </is>
      </c>
      <c r="C35" s="60" t="inlineStr">
        <is>
          <t>Budget</t>
        </is>
      </c>
      <c r="D35" s="53" t="n">
        <v>0.04</v>
      </c>
      <c r="E35" s="53" t="n">
        <v>0.04</v>
      </c>
      <c r="F35" s="54" t="inlineStr">
        <is>
          <t>128K</t>
        </is>
      </c>
      <c r="G35" s="55" t="inlineStr">
        <is>
          <t>-</t>
        </is>
      </c>
      <c r="H35" s="56">
        <f>D35*0.5</f>
        <v/>
      </c>
      <c r="I35" s="57" t="inlineStr">
        <is>
          <t>Edge/mobile</t>
        </is>
      </c>
    </row>
    <row r="36" ht="16" customHeight="1">
      <c r="A36" s="61" t="inlineStr">
        <is>
          <t>xAI</t>
        </is>
      </c>
      <c r="B36" s="62" t="inlineStr">
        <is>
          <t>Grok 4.20</t>
        </is>
      </c>
      <c r="C36" s="63" t="inlineStr">
        <is>
          <t>Flagship</t>
        </is>
      </c>
      <c r="D36" s="64" t="n">
        <v>2</v>
      </c>
      <c r="E36" s="64" t="n">
        <v>6</v>
      </c>
      <c r="F36" s="65" t="inlineStr">
        <is>
          <t>256K</t>
        </is>
      </c>
      <c r="G36" s="66" t="inlineStr">
        <is>
          <t>-</t>
        </is>
      </c>
      <c r="H36" s="67">
        <f>D36*0.5</f>
        <v/>
      </c>
      <c r="I36" s="68" t="inlineStr">
        <is>
          <t>Multi-agent capable</t>
        </is>
      </c>
    </row>
    <row r="37" ht="16" customHeight="1">
      <c r="A37" s="69" t="inlineStr"/>
      <c r="B37" s="62" t="inlineStr">
        <is>
          <t>Grok 4.1 Fast</t>
        </is>
      </c>
      <c r="C37" s="70" t="inlineStr">
        <is>
          <t>Budget</t>
        </is>
      </c>
      <c r="D37" s="64" t="n">
        <v>0.2</v>
      </c>
      <c r="E37" s="64" t="n">
        <v>0.5</v>
      </c>
      <c r="F37" s="65" t="inlineStr">
        <is>
          <t>2M</t>
        </is>
      </c>
      <c r="G37" s="66" t="inlineStr">
        <is>
          <t>$0.05 cached</t>
        </is>
      </c>
      <c r="H37" s="67">
        <f>D37*0.5</f>
        <v/>
      </c>
      <c r="I37" s="68" t="inlineStr">
        <is>
          <t>Largest context window</t>
        </is>
      </c>
    </row>
    <row r="38" ht="16" customHeight="1">
      <c r="A38" s="71" t="inlineStr">
        <is>
          <t>MoonshotAI</t>
        </is>
      </c>
      <c r="B38" s="72" t="inlineStr">
        <is>
          <t>Kimi K2.5</t>
        </is>
      </c>
      <c r="C38" s="73" t="inlineStr">
        <is>
          <t>Flagship</t>
        </is>
      </c>
      <c r="D38" s="74" t="n">
        <v>0.45</v>
      </c>
      <c r="E38" s="74" t="n">
        <v>2.2</v>
      </c>
      <c r="F38" s="75" t="inlineStr">
        <is>
          <t>262K</t>
        </is>
      </c>
      <c r="G38" s="76" t="inlineStr">
        <is>
          <t>-</t>
        </is>
      </c>
      <c r="H38" s="77">
        <f>D38*0.5</f>
        <v/>
      </c>
      <c r="I38" s="78" t="inlineStr">
        <is>
          <t>Strong value score</t>
        </is>
      </c>
    </row>
    <row r="39" ht="16" customHeight="1">
      <c r="A39" s="79" t="inlineStr"/>
      <c r="B39" s="72" t="inlineStr">
        <is>
          <t>Kimi K2 Thinking</t>
        </is>
      </c>
      <c r="C39" s="80" t="inlineStr">
        <is>
          <t>Reasoning</t>
        </is>
      </c>
      <c r="D39" s="74" t="n">
        <v>0.47</v>
      </c>
      <c r="E39" s="74" t="n">
        <v>2</v>
      </c>
      <c r="F39" s="75" t="inlineStr">
        <is>
          <t>131K</t>
        </is>
      </c>
      <c r="G39" s="76" t="inlineStr">
        <is>
          <t>-</t>
        </is>
      </c>
      <c r="H39" s="77">
        <f>D39*0.5</f>
        <v/>
      </c>
      <c r="I39" s="78" t="inlineStr"/>
    </row>
    <row r="40" ht="16" customHeight="1">
      <c r="A40" s="81" t="inlineStr">
        <is>
          <t>MiniMax</t>
        </is>
      </c>
      <c r="B40" s="82" t="inlineStr">
        <is>
          <t>MiniMax M2.5</t>
        </is>
      </c>
      <c r="C40" s="83" t="inlineStr">
        <is>
          <t>Flagship</t>
        </is>
      </c>
      <c r="D40" s="84" t="n">
        <v>0.27</v>
      </c>
      <c r="E40" s="84" t="n">
        <v>0.95</v>
      </c>
      <c r="F40" s="85" t="inlineStr">
        <is>
          <t>197K</t>
        </is>
      </c>
      <c r="G40" s="86" t="inlineStr">
        <is>
          <t>-</t>
        </is>
      </c>
      <c r="H40" s="87">
        <f>D40*0.5</f>
        <v/>
      </c>
      <c r="I40" s="88" t="inlineStr"/>
    </row>
    <row r="41" ht="16" customHeight="1">
      <c r="A41" s="89" t="inlineStr"/>
      <c r="B41" s="82" t="inlineStr">
        <is>
          <t>MiniMax M2.1</t>
        </is>
      </c>
      <c r="C41" s="90" t="inlineStr">
        <is>
          <t>Mid</t>
        </is>
      </c>
      <c r="D41" s="84" t="n">
        <v>0.27</v>
      </c>
      <c r="E41" s="84" t="n">
        <v>0.95</v>
      </c>
      <c r="F41" s="85" t="inlineStr">
        <is>
          <t>197K</t>
        </is>
      </c>
      <c r="G41" s="86" t="inlineStr">
        <is>
          <t>-</t>
        </is>
      </c>
      <c r="H41" s="87">
        <f>D41*0.5</f>
        <v/>
      </c>
      <c r="I41" s="88" t="inlineStr"/>
    </row>
    <row r="42" ht="16" customHeight="1">
      <c r="A42" s="91" t="inlineStr">
        <is>
          <t>Zhipu AI</t>
        </is>
      </c>
      <c r="B42" s="92" t="inlineStr">
        <is>
          <t>GLM-5</t>
        </is>
      </c>
      <c r="C42" s="93" t="inlineStr">
        <is>
          <t>Flagship</t>
        </is>
      </c>
      <c r="D42" s="94" t="n">
        <v>0.72</v>
      </c>
      <c r="E42" s="94" t="n">
        <v>2.3</v>
      </c>
      <c r="F42" s="95" t="inlineStr">
        <is>
          <t>203K</t>
        </is>
      </c>
      <c r="G42" s="96" t="inlineStr">
        <is>
          <t>-</t>
        </is>
      </c>
      <c r="H42" s="97">
        <f>D42*0.5</f>
        <v/>
      </c>
      <c r="I42" s="98" t="inlineStr"/>
    </row>
    <row r="43" ht="16" customHeight="1">
      <c r="A43" s="99" t="inlineStr"/>
      <c r="B43" s="92" t="inlineStr">
        <is>
          <t>GLM-4.7</t>
        </is>
      </c>
      <c r="C43" s="100" t="inlineStr">
        <is>
          <t>Mid</t>
        </is>
      </c>
      <c r="D43" s="94" t="n">
        <v>0.38</v>
      </c>
      <c r="E43" s="94" t="n">
        <v>1.98</v>
      </c>
      <c r="F43" s="95" t="inlineStr">
        <is>
          <t>203K</t>
        </is>
      </c>
      <c r="G43" s="96" t="inlineStr">
        <is>
          <t>-</t>
        </is>
      </c>
      <c r="H43" s="97">
        <f>D43*0.5</f>
        <v/>
      </c>
      <c r="I43" s="98" t="inlineStr"/>
    </row>
    <row r="44" ht="16" customHeight="1">
      <c r="A44" s="101" t="inlineStr">
        <is>
          <t>Groq</t>
        </is>
      </c>
      <c r="B44" s="102" t="inlineStr">
        <is>
          <t>Llama 4 Maverick</t>
        </is>
      </c>
      <c r="C44" s="103" t="inlineStr">
        <is>
          <t>Mid</t>
        </is>
      </c>
      <c r="D44" s="104" t="n">
        <v>0.2</v>
      </c>
      <c r="E44" s="104" t="n">
        <v>0.6</v>
      </c>
      <c r="F44" s="105" t="inlineStr">
        <is>
          <t>128K</t>
        </is>
      </c>
      <c r="G44" s="106" t="inlineStr">
        <is>
          <t>-</t>
        </is>
      </c>
      <c r="H44" s="107">
        <f>D44*0.5</f>
        <v/>
      </c>
      <c r="I44" s="108" t="inlineStr">
        <is>
          <t>MoE 17Bx128E; 840 tok/s</t>
        </is>
      </c>
    </row>
    <row r="45" ht="16" customHeight="1">
      <c r="A45" s="109" t="inlineStr"/>
      <c r="B45" s="102" t="inlineStr">
        <is>
          <t>Llama 4 Scout</t>
        </is>
      </c>
      <c r="C45" s="110" t="inlineStr">
        <is>
          <t>Budget</t>
        </is>
      </c>
      <c r="D45" s="104" t="n">
        <v>0.11</v>
      </c>
      <c r="E45" s="104" t="n">
        <v>0.34</v>
      </c>
      <c r="F45" s="105" t="inlineStr">
        <is>
          <t>128K</t>
        </is>
      </c>
      <c r="G45" s="106" t="inlineStr">
        <is>
          <t>-</t>
        </is>
      </c>
      <c r="H45" s="107">
        <f>D45*0.5</f>
        <v/>
      </c>
      <c r="I45" s="108" t="inlineStr">
        <is>
          <t>MoE 17Bx16E</t>
        </is>
      </c>
    </row>
    <row r="46" ht="16" customHeight="1">
      <c r="A46" s="109" t="inlineStr"/>
      <c r="B46" s="102" t="inlineStr">
        <is>
          <t>Llama 3.3 70B</t>
        </is>
      </c>
      <c r="C46" s="103" t="inlineStr">
        <is>
          <t>Mid</t>
        </is>
      </c>
      <c r="D46" s="104" t="n">
        <v>0.59</v>
      </c>
      <c r="E46" s="104" t="n">
        <v>0.79</v>
      </c>
      <c r="F46" s="105" t="inlineStr">
        <is>
          <t>128K</t>
        </is>
      </c>
      <c r="G46" s="106" t="inlineStr">
        <is>
          <t>-</t>
        </is>
      </c>
      <c r="H46" s="107">
        <f>D46*0.5</f>
        <v/>
      </c>
      <c r="I46" s="108" t="inlineStr">
        <is>
          <t>Open-weight workhorse</t>
        </is>
      </c>
    </row>
    <row r="47" ht="16" customHeight="1">
      <c r="A47" s="109" t="inlineStr"/>
      <c r="B47" s="102" t="inlineStr">
        <is>
          <t>Llama 3.1 8B</t>
        </is>
      </c>
      <c r="C47" s="110" t="inlineStr">
        <is>
          <t>Budget</t>
        </is>
      </c>
      <c r="D47" s="104" t="n">
        <v>0.05</v>
      </c>
      <c r="E47" s="104" t="n">
        <v>0.08</v>
      </c>
      <c r="F47" s="105" t="inlineStr">
        <is>
          <t>128K</t>
        </is>
      </c>
      <c r="G47" s="106" t="inlineStr">
        <is>
          <t>-</t>
        </is>
      </c>
      <c r="H47" s="107">
        <f>D47*0.5</f>
        <v/>
      </c>
      <c r="I47" s="108" t="inlineStr"/>
    </row>
    <row r="48" ht="16" customHeight="1">
      <c r="A48" s="109" t="inlineStr"/>
      <c r="B48" s="102" t="inlineStr">
        <is>
          <t>Qwen3 32B</t>
        </is>
      </c>
      <c r="C48" s="103" t="inlineStr">
        <is>
          <t>Mid</t>
        </is>
      </c>
      <c r="D48" s="104" t="n">
        <v>0.29</v>
      </c>
      <c r="E48" s="104" t="n">
        <v>0.59</v>
      </c>
      <c r="F48" s="105" t="inlineStr">
        <is>
          <t>131K</t>
        </is>
      </c>
      <c r="G48" s="106" t="inlineStr">
        <is>
          <t>-</t>
        </is>
      </c>
      <c r="H48" s="107">
        <f>D48*0.5</f>
        <v/>
      </c>
      <c r="I48" s="108" t="inlineStr">
        <is>
          <t>Strong multilingual</t>
        </is>
      </c>
    </row>
    <row r="49" ht="16" customHeight="1">
      <c r="A49" s="109" t="inlineStr"/>
      <c r="B49" s="102" t="inlineStr">
        <is>
          <t>Kimi K2</t>
        </is>
      </c>
      <c r="C49" s="103" t="inlineStr">
        <is>
          <t>Mid</t>
        </is>
      </c>
      <c r="D49" s="104" t="n">
        <v>1</v>
      </c>
      <c r="E49" s="104" t="n">
        <v>3</v>
      </c>
      <c r="F49" s="105" t="inlineStr">
        <is>
          <t>256K</t>
        </is>
      </c>
      <c r="G49" s="106" t="inlineStr">
        <is>
          <t>-</t>
        </is>
      </c>
      <c r="H49" s="107">
        <f>D49*0.5</f>
        <v/>
      </c>
      <c r="I49" s="108" t="inlineStr">
        <is>
          <t>via Groq</t>
        </is>
      </c>
    </row>
  </sheetData>
  <autoFilter ref="A3:I49"/>
  <mergeCells count="2">
    <mergeCell ref="A1:I1"/>
    <mergeCell ref="A2:I2"/>
  </mergeCells>
  <conditionalFormatting sqref="D4:D4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conditionalFormatting sqref="E4:E49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5" customWidth="1" min="3" max="3"/>
    <col width="14" customWidth="1" min="4" max="4"/>
    <col width="15" customWidth="1" min="5" max="5"/>
    <col width="22" customWidth="1" min="6" max="6"/>
    <col width="16" customWidth="1" min="7" max="7"/>
  </cols>
  <sheetData>
    <row r="1" ht="26" customHeight="1">
      <c r="A1" s="111" t="inlineStr">
        <is>
          <t>AI API 价格快速对比 · Quick Comparison Summary</t>
        </is>
      </c>
    </row>
    <row r="3" ht="28" customHeight="1">
      <c r="A3" s="112" t="inlineStr">
        <is>
          <t>服务商 / Provider</t>
        </is>
      </c>
      <c r="B3" s="112" t="inlineStr">
        <is>
          <t>最低输入 Min Input</t>
        </is>
      </c>
      <c r="C3" s="112" t="inlineStr">
        <is>
          <t>最低输出 Min Output</t>
        </is>
      </c>
      <c r="D3" s="112" t="inlineStr">
        <is>
          <t>最高输入 Max Input</t>
        </is>
      </c>
      <c r="E3" s="112" t="inlineStr">
        <is>
          <t>最高输出 Max Output</t>
        </is>
      </c>
      <c r="F3" s="112" t="inlineStr">
        <is>
          <t>旗舰型号 Flagship Model</t>
        </is>
      </c>
      <c r="G3" s="112" t="inlineStr">
        <is>
          <t>旗舰输出价 Flagship Out</t>
        </is>
      </c>
    </row>
    <row r="4" ht="16" customHeight="1">
      <c r="A4" s="113" t="inlineStr">
        <is>
          <t>OpenAI</t>
        </is>
      </c>
      <c r="B4" s="114" t="n">
        <v>0.15</v>
      </c>
      <c r="C4" s="114" t="n">
        <v>0.6</v>
      </c>
      <c r="D4" s="114" t="n">
        <v>30</v>
      </c>
      <c r="E4" s="114" t="n">
        <v>180</v>
      </c>
      <c r="F4" s="113" t="inlineStr">
        <is>
          <t>GPT-5.4</t>
        </is>
      </c>
      <c r="G4" s="114" t="n">
        <v>15</v>
      </c>
    </row>
    <row r="5" ht="16" customHeight="1">
      <c r="A5" s="115" t="inlineStr">
        <is>
          <t>Anthropic</t>
        </is>
      </c>
      <c r="B5" s="116" t="n">
        <v>0.8</v>
      </c>
      <c r="C5" s="116" t="n">
        <v>4</v>
      </c>
      <c r="D5" s="116" t="n">
        <v>5</v>
      </c>
      <c r="E5" s="116" t="n">
        <v>25</v>
      </c>
      <c r="F5" s="115" t="inlineStr">
        <is>
          <t>Claude Opus 4.6</t>
        </is>
      </c>
      <c r="G5" s="116" t="n">
        <v>25</v>
      </c>
    </row>
    <row r="6" ht="16" customHeight="1">
      <c r="A6" s="117" t="inlineStr">
        <is>
          <t>Google</t>
        </is>
      </c>
      <c r="B6" s="118" t="n">
        <v>0.1</v>
      </c>
      <c r="C6" s="118" t="n">
        <v>0.4</v>
      </c>
      <c r="D6" s="118" t="n">
        <v>2</v>
      </c>
      <c r="E6" s="118" t="n">
        <v>12</v>
      </c>
      <c r="F6" s="117" t="inlineStr">
        <is>
          <t>Gemini 3.1 Pro</t>
        </is>
      </c>
      <c r="G6" s="118" t="n">
        <v>12</v>
      </c>
    </row>
    <row r="7" ht="16" customHeight="1">
      <c r="A7" s="119" t="inlineStr">
        <is>
          <t>DeepSeek</t>
        </is>
      </c>
      <c r="B7" s="120" t="n">
        <v>0.28</v>
      </c>
      <c r="C7" s="120" t="n">
        <v>0.42</v>
      </c>
      <c r="D7" s="120" t="n">
        <v>0.55</v>
      </c>
      <c r="E7" s="120" t="n">
        <v>2.19</v>
      </c>
      <c r="F7" s="119" t="inlineStr">
        <is>
          <t>DeepSeek V3.2</t>
        </is>
      </c>
      <c r="G7" s="120" t="n">
        <v>0.42</v>
      </c>
    </row>
    <row r="8" ht="16" customHeight="1">
      <c r="A8" s="121" t="inlineStr">
        <is>
          <t>Mistral</t>
        </is>
      </c>
      <c r="B8" s="122" t="n">
        <v>0.02</v>
      </c>
      <c r="C8" s="122" t="n">
        <v>0.04</v>
      </c>
      <c r="D8" s="122" t="n">
        <v>0.5</v>
      </c>
      <c r="E8" s="122" t="n">
        <v>1.5</v>
      </c>
      <c r="F8" s="121" t="inlineStr">
        <is>
          <t>Mistral Large 3</t>
        </is>
      </c>
      <c r="G8" s="122" t="n">
        <v>1.5</v>
      </c>
    </row>
    <row r="9" ht="16" customHeight="1">
      <c r="A9" s="123" t="inlineStr">
        <is>
          <t>xAI</t>
        </is>
      </c>
      <c r="B9" s="124" t="n">
        <v>0.2</v>
      </c>
      <c r="C9" s="124" t="n">
        <v>0.5</v>
      </c>
      <c r="D9" s="124" t="n">
        <v>2</v>
      </c>
      <c r="E9" s="124" t="n">
        <v>6</v>
      </c>
      <c r="F9" s="123" t="inlineStr">
        <is>
          <t>Grok 4.20</t>
        </is>
      </c>
      <c r="G9" s="124" t="n">
        <v>6</v>
      </c>
    </row>
    <row r="10" ht="16" customHeight="1">
      <c r="A10" s="125" t="inlineStr">
        <is>
          <t>MoonshotAI</t>
        </is>
      </c>
      <c r="B10" s="126" t="n">
        <v>0.45</v>
      </c>
      <c r="C10" s="126" t="n">
        <v>2</v>
      </c>
      <c r="D10" s="126" t="n">
        <v>0.47</v>
      </c>
      <c r="E10" s="126" t="n">
        <v>2.2</v>
      </c>
      <c r="F10" s="125" t="inlineStr">
        <is>
          <t>Kimi K2.5</t>
        </is>
      </c>
      <c r="G10" s="126" t="n">
        <v>2.2</v>
      </c>
    </row>
    <row r="11" ht="16" customHeight="1">
      <c r="A11" s="127" t="inlineStr">
        <is>
          <t>MiniMax</t>
        </is>
      </c>
      <c r="B11" s="128" t="n">
        <v>0.27</v>
      </c>
      <c r="C11" s="128" t="n">
        <v>0.95</v>
      </c>
      <c r="D11" s="128" t="n">
        <v>0.27</v>
      </c>
      <c r="E11" s="128" t="n">
        <v>0.95</v>
      </c>
      <c r="F11" s="127" t="inlineStr">
        <is>
          <t>MiniMax M2.5</t>
        </is>
      </c>
      <c r="G11" s="128" t="n">
        <v>0.95</v>
      </c>
    </row>
    <row r="12" ht="16" customHeight="1">
      <c r="A12" s="129" t="inlineStr">
        <is>
          <t>Zhipu AI</t>
        </is>
      </c>
      <c r="B12" s="130" t="n">
        <v>0.38</v>
      </c>
      <c r="C12" s="130" t="n">
        <v>1.98</v>
      </c>
      <c r="D12" s="130" t="n">
        <v>0.72</v>
      </c>
      <c r="E12" s="130" t="n">
        <v>2.3</v>
      </c>
      <c r="F12" s="129" t="inlineStr">
        <is>
          <t>GLM-5</t>
        </is>
      </c>
      <c r="G12" s="130" t="n">
        <v>2.3</v>
      </c>
    </row>
    <row r="13" ht="16" customHeight="1">
      <c r="A13" s="131" t="inlineStr">
        <is>
          <t>Groq</t>
        </is>
      </c>
      <c r="B13" s="132" t="n">
        <v>0.05</v>
      </c>
      <c r="C13" s="132" t="n">
        <v>0.08</v>
      </c>
      <c r="D13" s="132" t="n">
        <v>1</v>
      </c>
      <c r="E13" s="132" t="n">
        <v>3</v>
      </c>
      <c r="F13" s="131" t="inlineStr">
        <is>
          <t>—</t>
        </is>
      </c>
      <c r="G13" s="133" t="inlineStr">
        <is>
          <t>—</t>
        </is>
      </c>
    </row>
    <row r="16" ht="20" customHeight="1">
      <c r="A16" s="134" t="inlineStr">
        <is>
          <t>💰 成本估算器 Cost Estimator  (修改黄色单元格 · Edit yellow cells)</t>
        </is>
      </c>
    </row>
    <row r="17" ht="16" customHeight="1">
      <c r="A17" s="135" t="inlineStr">
        <is>
          <t>每日输入 Token 数 (百万) · Daily Input Tokens (M)</t>
        </is>
      </c>
      <c r="B17" s="136" t="n">
        <v>1</v>
      </c>
    </row>
    <row r="18" ht="16" customHeight="1">
      <c r="A18" s="135" t="inlineStr">
        <is>
          <t>每日输出 Token 数 (百万) · Daily Output Tokens (M)</t>
        </is>
      </c>
      <c r="B18" s="136" t="n">
        <v>0.3</v>
      </c>
    </row>
    <row r="20" ht="18" customHeight="1">
      <c r="A20" s="137" t="inlineStr">
        <is>
          <t>服务商</t>
        </is>
      </c>
      <c r="B20" s="137" t="inlineStr">
        <is>
          <t>模型</t>
        </is>
      </c>
      <c r="C20" s="137" t="inlineStr">
        <is>
          <t>日成本 Daily ($)</t>
        </is>
      </c>
      <c r="D20" s="137" t="inlineStr">
        <is>
          <t>月成本 Monthly ($)</t>
        </is>
      </c>
      <c r="E20" s="137" t="inlineStr">
        <is>
          <t>年成本 Annual ($)</t>
        </is>
      </c>
    </row>
    <row r="21" ht="16" customHeight="1">
      <c r="A21" s="138" t="inlineStr">
        <is>
          <t>OpenAI</t>
        </is>
      </c>
      <c r="B21" s="138" t="inlineStr">
        <is>
          <t>GPT-5.4</t>
        </is>
      </c>
      <c r="C21" s="10">
        <f>B$17*2.5+B$18*15.0</f>
        <v/>
      </c>
      <c r="D21" s="10">
        <f>C21*30</f>
        <v/>
      </c>
      <c r="E21" s="10">
        <f>C21*365</f>
        <v/>
      </c>
    </row>
    <row r="22" ht="16" customHeight="1">
      <c r="A22" s="138" t="inlineStr">
        <is>
          <t>OpenAI</t>
        </is>
      </c>
      <c r="B22" s="138" t="inlineStr">
        <is>
          <t>GPT-5.2</t>
        </is>
      </c>
      <c r="C22" s="10">
        <f>B$17*1.75+B$18*14.0</f>
        <v/>
      </c>
      <c r="D22" s="10">
        <f>C22*30</f>
        <v/>
      </c>
      <c r="E22" s="10">
        <f>C22*365</f>
        <v/>
      </c>
    </row>
    <row r="23" ht="16" customHeight="1">
      <c r="A23" s="138" t="inlineStr">
        <is>
          <t>OpenAI</t>
        </is>
      </c>
      <c r="B23" s="138" t="inlineStr">
        <is>
          <t>GPT-4o mini</t>
        </is>
      </c>
      <c r="C23" s="10">
        <f>B$17*0.15+B$18*0.6</f>
        <v/>
      </c>
      <c r="D23" s="10">
        <f>C23*30</f>
        <v/>
      </c>
      <c r="E23" s="10">
        <f>C23*365</f>
        <v/>
      </c>
    </row>
    <row r="24" ht="16" customHeight="1">
      <c r="A24" s="139" t="inlineStr">
        <is>
          <t>Anthropic</t>
        </is>
      </c>
      <c r="B24" s="139" t="inlineStr">
        <is>
          <t>Claude Opus 4.6</t>
        </is>
      </c>
      <c r="C24" s="24">
        <f>B$17*5.0+B$18*25.0</f>
        <v/>
      </c>
      <c r="D24" s="24">
        <f>C24*30</f>
        <v/>
      </c>
      <c r="E24" s="24">
        <f>C24*365</f>
        <v/>
      </c>
    </row>
    <row r="25" ht="16" customHeight="1">
      <c r="A25" s="139" t="inlineStr">
        <is>
          <t>Anthropic</t>
        </is>
      </c>
      <c r="B25" s="139" t="inlineStr">
        <is>
          <t>Claude Sonnet 4.6</t>
        </is>
      </c>
      <c r="C25" s="24">
        <f>B$17*3.0+B$18*15.0</f>
        <v/>
      </c>
      <c r="D25" s="24">
        <f>C25*30</f>
        <v/>
      </c>
      <c r="E25" s="24">
        <f>C25*365</f>
        <v/>
      </c>
    </row>
    <row r="26" ht="16" customHeight="1">
      <c r="A26" s="139" t="inlineStr">
        <is>
          <t>Anthropic</t>
        </is>
      </c>
      <c r="B26" s="139" t="inlineStr">
        <is>
          <t>Claude Haiku 4.5</t>
        </is>
      </c>
      <c r="C26" s="24">
        <f>B$17*0.8+B$18*4.0</f>
        <v/>
      </c>
      <c r="D26" s="24">
        <f>C26*30</f>
        <v/>
      </c>
      <c r="E26" s="24">
        <f>C26*365</f>
        <v/>
      </c>
    </row>
    <row r="27" ht="16" customHeight="1">
      <c r="A27" s="140" t="inlineStr">
        <is>
          <t>Google</t>
        </is>
      </c>
      <c r="B27" s="140" t="inlineStr">
        <is>
          <t>Gemini 3.1 Pro</t>
        </is>
      </c>
      <c r="C27" s="35">
        <f>B$17*2.0+B$18*12.0</f>
        <v/>
      </c>
      <c r="D27" s="35">
        <f>C27*30</f>
        <v/>
      </c>
      <c r="E27" s="35">
        <f>C27*365</f>
        <v/>
      </c>
    </row>
    <row r="28" ht="16" customHeight="1">
      <c r="A28" s="140" t="inlineStr">
        <is>
          <t>Google</t>
        </is>
      </c>
      <c r="B28" s="140" t="inlineStr">
        <is>
          <t>Gemini 2.5 Flash</t>
        </is>
      </c>
      <c r="C28" s="35">
        <f>B$17*0.3+B$18*2.5</f>
        <v/>
      </c>
      <c r="D28" s="35">
        <f>C28*30</f>
        <v/>
      </c>
      <c r="E28" s="35">
        <f>C28*365</f>
        <v/>
      </c>
    </row>
    <row r="29" ht="16" customHeight="1">
      <c r="A29" s="140" t="inlineStr">
        <is>
          <t>Google</t>
        </is>
      </c>
      <c r="B29" s="140" t="inlineStr">
        <is>
          <t>Gemini 2.5 Flash-Lite</t>
        </is>
      </c>
      <c r="C29" s="35">
        <f>B$17*0.1+B$18*0.4</f>
        <v/>
      </c>
      <c r="D29" s="35">
        <f>C29*30</f>
        <v/>
      </c>
      <c r="E29" s="35">
        <f>C29*365</f>
        <v/>
      </c>
    </row>
    <row r="30" ht="16" customHeight="1">
      <c r="A30" s="141" t="inlineStr">
        <is>
          <t>DeepSeek</t>
        </is>
      </c>
      <c r="B30" s="141" t="inlineStr">
        <is>
          <t>DeepSeek V3.2</t>
        </is>
      </c>
      <c r="C30" s="46">
        <f>B$17*0.28+B$18*0.42</f>
        <v/>
      </c>
      <c r="D30" s="46">
        <f>C30*30</f>
        <v/>
      </c>
      <c r="E30" s="46">
        <f>C30*365</f>
        <v/>
      </c>
    </row>
    <row r="31" ht="16" customHeight="1">
      <c r="A31" s="142" t="inlineStr">
        <is>
          <t>Mistral</t>
        </is>
      </c>
      <c r="B31" s="142" t="inlineStr">
        <is>
          <t>Mistral Nemo</t>
        </is>
      </c>
      <c r="C31" s="56">
        <f>B$17*0.02+B$18*0.04</f>
        <v/>
      </c>
      <c r="D31" s="56">
        <f>C31*30</f>
        <v/>
      </c>
      <c r="E31" s="56">
        <f>C31*365</f>
        <v/>
      </c>
    </row>
    <row r="32" ht="16" customHeight="1">
      <c r="A32" s="143" t="inlineStr">
        <is>
          <t>xAI</t>
        </is>
      </c>
      <c r="B32" s="143" t="inlineStr">
        <is>
          <t>Grok 4.20</t>
        </is>
      </c>
      <c r="C32" s="67">
        <f>B$17*2.0+B$18*6.0</f>
        <v/>
      </c>
      <c r="D32" s="67">
        <f>C32*30</f>
        <v/>
      </c>
      <c r="E32" s="67">
        <f>C32*365</f>
        <v/>
      </c>
    </row>
    <row r="33" ht="16" customHeight="1">
      <c r="A33" s="144" t="inlineStr">
        <is>
          <t>MoonshotAI</t>
        </is>
      </c>
      <c r="B33" s="144" t="inlineStr">
        <is>
          <t>Kimi K2.5</t>
        </is>
      </c>
      <c r="C33" s="77">
        <f>B$17*0.45+B$18*2.2</f>
        <v/>
      </c>
      <c r="D33" s="77">
        <f>C33*30</f>
        <v/>
      </c>
      <c r="E33" s="77">
        <f>C33*365</f>
        <v/>
      </c>
    </row>
  </sheetData>
  <mergeCells count="2">
    <mergeCell ref="A16:G16"/>
    <mergeCell ref="A1:G1"/>
  </mergeCells>
  <conditionalFormatting sqref="C21:C33">
    <cfRule type="colorScale" priority="1">
      <colorScale>
        <cfvo type="min"/>
        <cfvo type="percentile" val="50"/>
        <cfvo type="max"/>
        <color rgb="0063BE7B"/>
        <color rgb="00FFEB84"/>
        <color rgb="00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2026-03-14T12:36:50Z</dcterms:created>
  <dcterms:modified xsi:type="dcterms:W3CDTF">2026-03-14T12:36:50Z</dcterms:modified>
</cp:coreProperties>
</file>